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115_1\MEExp\"/>
    </mc:Choice>
  </mc:AlternateContent>
  <xr:revisionPtr revIDLastSave="0" documentId="13_ncr:1_{61593195-6222-452C-B980-D8AD507BC5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D28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D6" i="1"/>
</calcChain>
</file>

<file path=xl/sharedStrings.xml><?xml version="1.0" encoding="utf-8"?>
<sst xmlns="http://schemas.openxmlformats.org/spreadsheetml/2006/main" count="7" uniqueCount="7">
  <si>
    <t>f(Hz)</t>
    <phoneticPr fontId="1" type="noConversion"/>
  </si>
  <si>
    <t>vo</t>
    <phoneticPr fontId="1" type="noConversion"/>
  </si>
  <si>
    <t>diff.</t>
    <phoneticPr fontId="1" type="noConversion"/>
  </si>
  <si>
    <t>vi=0.416</t>
    <phoneticPr fontId="1" type="noConversion"/>
  </si>
  <si>
    <t>A(dB)</t>
    <phoneticPr fontId="1" type="noConversion"/>
  </si>
  <si>
    <t>int with shunt</t>
    <phoneticPr fontId="1" type="noConversion"/>
  </si>
  <si>
    <t>vi = 0.4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</si>
</sst>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magnitude</a:t>
            </a:r>
            <a:r>
              <a:rPr lang="en-US" altLang="zh-TW" baseline="0"/>
              <a:t> to frenquency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Sheet1!$D$4:$R$4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25000</c:v>
                </c:pt>
                <c:pt idx="9">
                  <c:v>30000</c:v>
                </c:pt>
                <c:pt idx="10">
                  <c:v>35000</c:v>
                </c:pt>
                <c:pt idx="11">
                  <c:v>40000</c:v>
                </c:pt>
                <c:pt idx="12">
                  <c:v>45000</c:v>
                </c:pt>
                <c:pt idx="13">
                  <c:v>50000</c:v>
                </c:pt>
                <c:pt idx="14">
                  <c:v>100000</c:v>
                </c:pt>
              </c:numCache>
            </c:numRef>
          </c:xVal>
          <c:yVal>
            <c:numRef>
              <c:f>Sheet1!$D$6:$R$6</c:f>
              <c:numCache>
                <c:formatCode>General</c:formatCode>
                <c:ptCount val="15"/>
                <c:pt idx="0">
                  <c:v>-20.340666785975607</c:v>
                </c:pt>
                <c:pt idx="1">
                  <c:v>-18.757041865023108</c:v>
                </c:pt>
                <c:pt idx="2">
                  <c:v>-17.418106072410847</c:v>
                </c:pt>
                <c:pt idx="3">
                  <c:v>-16.81884160486198</c:v>
                </c:pt>
                <c:pt idx="4">
                  <c:v>-13.896280891297222</c:v>
                </c:pt>
                <c:pt idx="5">
                  <c:v>-8.8600414314212301</c:v>
                </c:pt>
                <c:pt idx="6">
                  <c:v>-4.0823996531184958</c:v>
                </c:pt>
                <c:pt idx="7">
                  <c:v>1.5627202426594955</c:v>
                </c:pt>
                <c:pt idx="8">
                  <c:v>5.6799331273040181</c:v>
                </c:pt>
                <c:pt idx="9">
                  <c:v>7.6181333874651447</c:v>
                </c:pt>
                <c:pt idx="10">
                  <c:v>7.6181333874651447</c:v>
                </c:pt>
                <c:pt idx="11">
                  <c:v>9.2017583084176415</c:v>
                </c:pt>
                <c:pt idx="12">
                  <c:v>10.540694101029906</c:v>
                </c:pt>
                <c:pt idx="13">
                  <c:v>11.700533040583643</c:v>
                </c:pt>
                <c:pt idx="14">
                  <c:v>15.917600346881507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8-4F87-BB44-F42B50C6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40863"/>
        <c:axId val="1867938943"/>
      </c:scatterChart>
      <c:valAx>
        <c:axId val="18679408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f(Hz)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7938943"/>
        <c:crosses val="autoZero"/>
        <c:crossBetween val="midCat"/>
      </c:valAx>
      <c:valAx>
        <c:axId val="18679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Magnitude(dB)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794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magnitude</a:t>
            </a:r>
            <a:r>
              <a:rPr lang="en-US" altLang="zh-TW" baseline="0"/>
              <a:t> to frequency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Sheet1!$D$26:$U$26</c:f>
              <c:numCache>
                <c:formatCode>General</c:formatCode>
                <c:ptCount val="18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3700</c:v>
                </c:pt>
                <c:pt idx="8">
                  <c:v>4500</c:v>
                </c:pt>
                <c:pt idx="9">
                  <c:v>5000</c:v>
                </c:pt>
                <c:pt idx="10">
                  <c:v>7000</c:v>
                </c:pt>
                <c:pt idx="11">
                  <c:v>10000</c:v>
                </c:pt>
                <c:pt idx="12">
                  <c:v>20000</c:v>
                </c:pt>
                <c:pt idx="13">
                  <c:v>50000</c:v>
                </c:pt>
                <c:pt idx="14">
                  <c:v>100000</c:v>
                </c:pt>
                <c:pt idx="15">
                  <c:v>200000</c:v>
                </c:pt>
                <c:pt idx="16">
                  <c:v>500000</c:v>
                </c:pt>
                <c:pt idx="17">
                  <c:v>1000000</c:v>
                </c:pt>
              </c:numCache>
            </c:numRef>
          </c:xVal>
          <c:yVal>
            <c:numRef>
              <c:f>Sheet1!$D$28:$U$28</c:f>
              <c:numCache>
                <c:formatCode>General</c:formatCode>
                <c:ptCount val="18"/>
                <c:pt idx="0">
                  <c:v>26.020599913279625</c:v>
                </c:pt>
                <c:pt idx="1">
                  <c:v>26.020599913279625</c:v>
                </c:pt>
                <c:pt idx="2">
                  <c:v>26.020599913279625</c:v>
                </c:pt>
                <c:pt idx="3">
                  <c:v>25.933303805230622</c:v>
                </c:pt>
                <c:pt idx="4">
                  <c:v>25.756034598604522</c:v>
                </c:pt>
                <c:pt idx="5">
                  <c:v>25.575072019056577</c:v>
                </c:pt>
                <c:pt idx="6">
                  <c:v>25.343434568060275</c:v>
                </c:pt>
                <c:pt idx="7">
                  <c:v>24.860760973725888</c:v>
                </c:pt>
                <c:pt idx="8">
                  <c:v>24.349678884278127</c:v>
                </c:pt>
                <c:pt idx="9">
                  <c:v>23.973141739088454</c:v>
                </c:pt>
                <c:pt idx="10">
                  <c:v>22.606675369900124</c:v>
                </c:pt>
                <c:pt idx="11">
                  <c:v>20.827853703164504</c:v>
                </c:pt>
                <c:pt idx="12">
                  <c:v>15.847833789965076</c:v>
                </c:pt>
                <c:pt idx="13">
                  <c:v>8.9431606268443851</c:v>
                </c:pt>
                <c:pt idx="14">
                  <c:v>2.9225607135647613</c:v>
                </c:pt>
                <c:pt idx="15">
                  <c:v>0</c:v>
                </c:pt>
                <c:pt idx="16">
                  <c:v>-4.4369749923271282</c:v>
                </c:pt>
                <c:pt idx="17">
                  <c:v>-7.9588001734407534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1-44EF-B70B-D9713677A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909663"/>
        <c:axId val="1867908703"/>
      </c:scatterChart>
      <c:valAx>
        <c:axId val="18679096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f(Hz)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7908703"/>
        <c:crosses val="autoZero"/>
        <c:crossBetween val="midCat"/>
      </c:valAx>
      <c:valAx>
        <c:axId val="186790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magnitude(dB)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6790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7</xdr:row>
      <xdr:rowOff>123825</xdr:rowOff>
    </xdr:from>
    <xdr:to>
      <xdr:col>13</xdr:col>
      <xdr:colOff>419100</xdr:colOff>
      <xdr:row>22</xdr:row>
      <xdr:rowOff>104775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5426D95-E24B-F191-D7D7-2C7FD7E4E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49893</xdr:colOff>
      <xdr:row>28</xdr:row>
      <xdr:rowOff>76994</xdr:rowOff>
    </xdr:from>
    <xdr:to>
      <xdr:col>15</xdr:col>
      <xdr:colOff>131536</xdr:colOff>
      <xdr:row>43</xdr:row>
      <xdr:rowOff>98765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8527CF0-2238-13F2-709D-4BCFDB95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28"/>
  <sheetViews>
    <sheetView tabSelected="1" zoomScale="72" workbookViewId="0">
      <selection activeCell="T36" sqref="T36"/>
    </sheetView>
  </sheetViews>
  <sheetFormatPr defaultRowHeight="14.5" x14ac:dyDescent="0.3"/>
  <sheetData>
    <row r="4" spans="1:18" x14ac:dyDescent="0.3">
      <c r="A4" t="s">
        <v>2</v>
      </c>
      <c r="D4">
        <v>100</v>
      </c>
      <c r="E4">
        <v>200</v>
      </c>
      <c r="F4">
        <v>500</v>
      </c>
      <c r="G4">
        <v>1000</v>
      </c>
      <c r="H4">
        <v>2000</v>
      </c>
      <c r="I4">
        <v>5000</v>
      </c>
      <c r="J4">
        <v>10000</v>
      </c>
      <c r="K4">
        <v>20000</v>
      </c>
      <c r="L4">
        <v>25000</v>
      </c>
      <c r="M4">
        <v>30000</v>
      </c>
      <c r="N4">
        <v>35000</v>
      </c>
      <c r="O4">
        <v>40000</v>
      </c>
      <c r="P4">
        <v>45000</v>
      </c>
      <c r="Q4">
        <v>50000</v>
      </c>
      <c r="R4">
        <v>100000</v>
      </c>
    </row>
    <row r="5" spans="1:18" x14ac:dyDescent="0.3">
      <c r="A5" t="s">
        <v>3</v>
      </c>
      <c r="D5">
        <v>0.04</v>
      </c>
      <c r="E5">
        <v>4.8000000000000001E-2</v>
      </c>
      <c r="F5">
        <v>5.6000000000000001E-2</v>
      </c>
      <c r="G5">
        <v>0.06</v>
      </c>
      <c r="H5">
        <v>8.4000000000000005E-2</v>
      </c>
      <c r="I5">
        <v>0.15</v>
      </c>
      <c r="J5">
        <v>0.26</v>
      </c>
      <c r="K5">
        <v>0.498</v>
      </c>
      <c r="L5">
        <v>0.8</v>
      </c>
      <c r="M5">
        <v>1</v>
      </c>
      <c r="N5">
        <v>1</v>
      </c>
      <c r="O5">
        <v>1.2</v>
      </c>
      <c r="P5">
        <v>1.4</v>
      </c>
      <c r="Q5">
        <v>1.6</v>
      </c>
      <c r="R5">
        <v>2.6</v>
      </c>
    </row>
    <row r="6" spans="1:18" x14ac:dyDescent="0.3">
      <c r="D6">
        <f>20*LOG(D5/0.416)</f>
        <v>-20.340666785975607</v>
      </c>
      <c r="E6">
        <f t="shared" ref="E6:S6" si="0">20*LOG(E5/0.416)</f>
        <v>-18.757041865023108</v>
      </c>
      <c r="F6">
        <f t="shared" si="0"/>
        <v>-17.418106072410847</v>
      </c>
      <c r="G6">
        <f t="shared" si="0"/>
        <v>-16.81884160486198</v>
      </c>
      <c r="H6">
        <f t="shared" si="0"/>
        <v>-13.896280891297222</v>
      </c>
      <c r="I6">
        <f t="shared" si="0"/>
        <v>-8.8600414314212301</v>
      </c>
      <c r="J6">
        <f t="shared" si="0"/>
        <v>-4.0823996531184958</v>
      </c>
      <c r="K6">
        <f t="shared" si="0"/>
        <v>1.5627202426594955</v>
      </c>
      <c r="L6">
        <f t="shared" si="0"/>
        <v>5.6799331273040181</v>
      </c>
      <c r="M6">
        <f t="shared" si="0"/>
        <v>7.6181333874651447</v>
      </c>
      <c r="N6">
        <f t="shared" si="0"/>
        <v>7.6181333874651447</v>
      </c>
      <c r="O6">
        <f t="shared" si="0"/>
        <v>9.2017583084176415</v>
      </c>
      <c r="P6">
        <f t="shared" si="0"/>
        <v>10.540694101029906</v>
      </c>
      <c r="Q6">
        <f t="shared" si="0"/>
        <v>11.700533040583643</v>
      </c>
      <c r="R6">
        <f t="shared" si="0"/>
        <v>15.917600346881507</v>
      </c>
    </row>
    <row r="26" spans="1:21" x14ac:dyDescent="0.3">
      <c r="A26" t="s">
        <v>5</v>
      </c>
      <c r="C26" t="s">
        <v>0</v>
      </c>
      <c r="D26">
        <v>100</v>
      </c>
      <c r="E26">
        <v>200</v>
      </c>
      <c r="F26">
        <v>500</v>
      </c>
      <c r="G26">
        <v>1000</v>
      </c>
      <c r="H26">
        <v>1500</v>
      </c>
      <c r="I26">
        <v>2000</v>
      </c>
      <c r="J26">
        <v>2500</v>
      </c>
      <c r="K26">
        <v>3700</v>
      </c>
      <c r="L26">
        <v>4500</v>
      </c>
      <c r="M26">
        <v>5000</v>
      </c>
      <c r="N26">
        <v>7000</v>
      </c>
      <c r="O26">
        <v>10000</v>
      </c>
      <c r="P26">
        <v>20000</v>
      </c>
      <c r="Q26">
        <v>50000</v>
      </c>
      <c r="R26">
        <v>100000</v>
      </c>
      <c r="S26">
        <v>200000</v>
      </c>
      <c r="T26">
        <v>500000</v>
      </c>
      <c r="U26">
        <v>1000000</v>
      </c>
    </row>
    <row r="27" spans="1:21" x14ac:dyDescent="0.3">
      <c r="A27" t="s">
        <v>6</v>
      </c>
      <c r="C27" t="s">
        <v>1</v>
      </c>
      <c r="D27">
        <v>8</v>
      </c>
      <c r="E27">
        <v>8</v>
      </c>
      <c r="F27">
        <v>8</v>
      </c>
      <c r="G27">
        <v>7.92</v>
      </c>
      <c r="H27">
        <v>7.76</v>
      </c>
      <c r="I27">
        <v>7.6</v>
      </c>
      <c r="J27">
        <v>7.4</v>
      </c>
      <c r="K27">
        <v>7</v>
      </c>
      <c r="L27">
        <v>6.6</v>
      </c>
      <c r="M27">
        <v>6.32</v>
      </c>
      <c r="N27">
        <v>5.4</v>
      </c>
      <c r="O27">
        <v>4.4000000000000004</v>
      </c>
      <c r="P27">
        <v>2.48</v>
      </c>
      <c r="Q27">
        <v>1.1200000000000001</v>
      </c>
      <c r="R27">
        <v>0.56000000000000005</v>
      </c>
      <c r="S27">
        <v>0.4</v>
      </c>
      <c r="T27">
        <v>0.24</v>
      </c>
      <c r="U27">
        <v>0.16</v>
      </c>
    </row>
    <row r="28" spans="1:21" x14ac:dyDescent="0.3">
      <c r="C28" t="s">
        <v>4</v>
      </c>
      <c r="D28">
        <f>20*LOG(D27/0.4)</f>
        <v>26.020599913279625</v>
      </c>
      <c r="E28">
        <f t="shared" ref="E28:U28" si="1">20*LOG(E27/0.4)</f>
        <v>26.020599913279625</v>
      </c>
      <c r="F28">
        <f t="shared" si="1"/>
        <v>26.020599913279625</v>
      </c>
      <c r="G28">
        <f t="shared" si="1"/>
        <v>25.933303805230622</v>
      </c>
      <c r="H28">
        <f t="shared" si="1"/>
        <v>25.756034598604522</v>
      </c>
      <c r="I28">
        <f t="shared" si="1"/>
        <v>25.575072019056577</v>
      </c>
      <c r="J28">
        <f t="shared" si="1"/>
        <v>25.343434568060275</v>
      </c>
      <c r="K28">
        <f t="shared" si="1"/>
        <v>24.860760973725888</v>
      </c>
      <c r="L28">
        <f t="shared" si="1"/>
        <v>24.349678884278127</v>
      </c>
      <c r="M28">
        <f t="shared" si="1"/>
        <v>23.973141739088454</v>
      </c>
      <c r="N28">
        <f t="shared" si="1"/>
        <v>22.606675369900124</v>
      </c>
      <c r="O28">
        <f t="shared" si="1"/>
        <v>20.827853703164504</v>
      </c>
      <c r="P28">
        <f t="shared" si="1"/>
        <v>15.847833789965076</v>
      </c>
      <c r="Q28">
        <f t="shared" si="1"/>
        <v>8.9431606268443851</v>
      </c>
      <c r="R28">
        <f t="shared" si="1"/>
        <v>2.9225607135647613</v>
      </c>
      <c r="S28">
        <f t="shared" si="1"/>
        <v>0</v>
      </c>
      <c r="T28">
        <f t="shared" si="1"/>
        <v>-4.4369749923271282</v>
      </c>
      <c r="U28">
        <f t="shared" si="1"/>
        <v>-7.9588001734407534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Tony Lin</cp:lastModifiedBy>
  <dcterms:created xsi:type="dcterms:W3CDTF">2015-06-05T18:17:20Z</dcterms:created>
  <dcterms:modified xsi:type="dcterms:W3CDTF">2026-10-20T12:42:27Z</dcterms:modified>
</cp:coreProperties>
</file>